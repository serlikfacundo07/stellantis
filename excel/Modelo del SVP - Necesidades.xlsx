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47135\Downloads\"/>
    </mc:Choice>
  </mc:AlternateContent>
  <xr:revisionPtr revIDLastSave="0" documentId="8_{4C519F14-1870-4B6F-AED7-B48DC7DCBFE5}" xr6:coauthVersionLast="47" xr6:coauthVersionMax="47" xr10:uidLastSave="{00000000-0000-0000-0000-000000000000}"/>
  <bookViews>
    <workbookView xWindow="-115" yWindow="-115" windowWidth="24697" windowHeight="13266" xr2:uid="{1FD2213E-619D-4DCA-9BD7-37EC1A572A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<sst xmlns="http://schemas.openxmlformats.org/spreadsheetml/2006/main" count="146" uniqueCount="128">
  <si>
    <t>Pesquisa grupo Refs</t>
  </si>
  <si>
    <t>Refs</t>
  </si>
  <si>
    <t>Ref</t>
  </si>
  <si>
    <t>Designação BHM</t>
  </si>
  <si>
    <t>Designação</t>
  </si>
  <si>
    <t>Preço</t>
  </si>
  <si>
    <t>Apro</t>
  </si>
  <si>
    <t>Flujo Espe</t>
  </si>
  <si>
    <t>Pays</t>
  </si>
  <si>
    <t>SGR</t>
  </si>
  <si>
    <t>Dt Inv</t>
  </si>
  <si>
    <t>Debut</t>
  </si>
  <si>
    <t>FDS</t>
  </si>
  <si>
    <t>Raison sociale</t>
  </si>
  <si>
    <t>COFOR</t>
  </si>
  <si>
    <t>Besoin</t>
  </si>
  <si>
    <t>UA</t>
  </si>
  <si>
    <t>UC</t>
  </si>
  <si>
    <t>Embalagem</t>
  </si>
  <si>
    <t>BDL Negativa</t>
  </si>
  <si>
    <t>Cod Apro</t>
  </si>
  <si>
    <t>Curva ABC</t>
  </si>
  <si>
    <t>M3</t>
  </si>
  <si>
    <t>Custo produção</t>
  </si>
  <si>
    <t>Code Livraison Real</t>
  </si>
  <si>
    <t>Code Livraison Detalhado</t>
  </si>
  <si>
    <t>Derniere BL</t>
  </si>
  <si>
    <t>Sist. Ord</t>
  </si>
  <si>
    <t>Indice DL</t>
  </si>
  <si>
    <t>CMJ</t>
  </si>
  <si>
    <t>NBJan</t>
  </si>
  <si>
    <t>NBJPC</t>
  </si>
  <si>
    <t>Est. Fixo Qtd</t>
  </si>
  <si>
    <t>Dotação</t>
  </si>
  <si>
    <t>Imposè</t>
  </si>
  <si>
    <t>Preavis</t>
  </si>
  <si>
    <t>Enlevement</t>
  </si>
  <si>
    <t>Envio d'Ordres</t>
  </si>
  <si>
    <t>Em Plataforme</t>
  </si>
  <si>
    <t>Validè Logistique</t>
  </si>
  <si>
    <t>Tot. Globe</t>
  </si>
  <si>
    <t>AV / RET</t>
  </si>
  <si>
    <t>CMJ $</t>
  </si>
  <si>
    <t>Estoque Magasin</t>
  </si>
  <si>
    <t>Estoque BDL</t>
  </si>
  <si>
    <t>MAG + BDL</t>
  </si>
  <si>
    <t>EC01</t>
  </si>
  <si>
    <t>EC02</t>
  </si>
  <si>
    <t>EC04</t>
  </si>
  <si>
    <t>EC05</t>
  </si>
  <si>
    <t>EC06</t>
  </si>
  <si>
    <t>EC07</t>
  </si>
  <si>
    <t>EC08</t>
  </si>
  <si>
    <t>EC09</t>
  </si>
  <si>
    <t>EC10</t>
  </si>
  <si>
    <t>EC11</t>
  </si>
  <si>
    <t>EC12</t>
  </si>
  <si>
    <t>SENS - Estoque Disponivel</t>
  </si>
  <si>
    <t>SENS - Estoque Geral</t>
  </si>
  <si>
    <t>SENS - Est Programação</t>
  </si>
  <si>
    <t>Estoque pranta s/ SENS</t>
  </si>
  <si>
    <t>Sens Negativo</t>
  </si>
  <si>
    <t>Estoque pranta + SENS</t>
  </si>
  <si>
    <t>Est pranta + SENS +  Transporte</t>
  </si>
  <si>
    <t>Pranta + EC01 + SENS + Grobe</t>
  </si>
  <si>
    <t>Grobe</t>
  </si>
  <si>
    <t>E$toque</t>
  </si>
  <si>
    <t>S 22</t>
  </si>
  <si>
    <t>S 23</t>
  </si>
  <si>
    <t>S 24</t>
  </si>
  <si>
    <t>S 25</t>
  </si>
  <si>
    <t>S 26</t>
  </si>
  <si>
    <t>S 27</t>
  </si>
  <si>
    <t>S 28</t>
  </si>
  <si>
    <t>S 29</t>
  </si>
  <si>
    <t>S 30</t>
  </si>
  <si>
    <t>S 31</t>
  </si>
  <si>
    <t>S 32</t>
  </si>
  <si>
    <t>S 33</t>
  </si>
  <si>
    <t>S 34</t>
  </si>
  <si>
    <t>S 35</t>
  </si>
  <si>
    <t>S 36</t>
  </si>
  <si>
    <t>S 37</t>
  </si>
  <si>
    <t>S 38</t>
  </si>
  <si>
    <t>PHM 6 semanas</t>
  </si>
  <si>
    <t>PHM TOTAL - 21 semanas</t>
  </si>
  <si>
    <t>Risco de baixa</t>
  </si>
  <si>
    <t>Risco Baixa_NFC_NF</t>
  </si>
  <si>
    <t>IND DL em peça ñ FDS</t>
  </si>
  <si>
    <t>Estoque Disponivel negativo</t>
  </si>
  <si>
    <t>Status NFC / Coef / Codigo de função</t>
  </si>
  <si>
    <t>Encontrou na lista</t>
  </si>
  <si>
    <t>Apro BHM</t>
  </si>
  <si>
    <t>Fornecedor</t>
  </si>
  <si>
    <t>Designação NFC</t>
  </si>
  <si>
    <t>BERCEA ROUE SECO</t>
  </si>
  <si>
    <t>GUSTAVO CHICLANA</t>
  </si>
  <si>
    <t>MERC</t>
  </si>
  <si>
    <t>ARG</t>
  </si>
  <si>
    <t>CGR SA</t>
  </si>
  <si>
    <t>81661L  01</t>
  </si>
  <si>
    <t xml:space="preserve">  CM69 PM69 </t>
  </si>
  <si>
    <t>BDL Neg</t>
  </si>
  <si>
    <t>MM3</t>
  </si>
  <si>
    <t>C</t>
  </si>
  <si>
    <t>215 - Sex (1ª e 3ª Sem. do mês)</t>
  </si>
  <si>
    <t>Journalier (J)</t>
  </si>
  <si>
    <t>Y</t>
  </si>
  <si>
    <t>Oh la la</t>
  </si>
  <si>
    <t>OK</t>
  </si>
  <si>
    <t>Divergencia NFC_Baixa</t>
  </si>
  <si>
    <t/>
  </si>
  <si>
    <t>Negativo</t>
  </si>
  <si>
    <t>2  ==&gt; NFC / 2 coef  = 1 /  1 Cod Função</t>
  </si>
  <si>
    <t>Necesidades diarias</t>
  </si>
  <si>
    <t>Status Cobertura</t>
  </si>
  <si>
    <t>Transito y Patio TC</t>
  </si>
  <si>
    <t>Stock en Almacen</t>
  </si>
  <si>
    <t>Stock en el BDL</t>
  </si>
  <si>
    <t>Puede ser negativo</t>
  </si>
  <si>
    <t>si la pieza aplico</t>
  </si>
  <si>
    <t>&lt; hoy</t>
  </si>
  <si>
    <t>si la pieza murio</t>
  </si>
  <si>
    <t>&gt; hoy</t>
  </si>
  <si>
    <t>Pieza para cruzar con el listado de Patio</t>
  </si>
  <si>
    <t>flujo</t>
  </si>
  <si>
    <t>No considerar ARG / BRA / URU</t>
  </si>
  <si>
    <t>Tener en cuenta para la apertura del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</si>
</sst>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;@"/>
    <numFmt numFmtId="165" formatCode="#,##0_ ;[Red]\-#,##0\ "/>
    <numFmt numFmtId="166" formatCode="d/m;@"/>
    <numFmt numFmtId="167" formatCode="_-* #,##0_-;\-* #,##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0"/>
      <name val="Arial"/>
      <family val="2"/>
    </font>
    <font>
      <sz val="8"/>
      <color rgb="FF000000"/>
      <name val="Arial"/>
      <family val="2"/>
    </font>
    <font>
      <sz val="9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65F52B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72">
    <xf numFmtId="0" fontId="0" fillId="0" borderId="0" xfId="0"/>
    <xf numFmtId="0" fontId="3" fillId="0" borderId="0" xfId="0" applyFont="1"/>
    <xf numFmtId="43" fontId="4" fillId="2" borderId="0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4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 wrapText="1"/>
    </xf>
    <xf numFmtId="3" fontId="5" fillId="4" borderId="3" xfId="1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horizontal="center" vertical="center" wrapText="1"/>
    </xf>
    <xf numFmtId="166" fontId="3" fillId="5" borderId="3" xfId="0" applyNumberFormat="1" applyFont="1" applyFill="1" applyBorder="1" applyAlignment="1">
      <alignment horizontal="center" vertical="center" wrapText="1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4" fillId="6" borderId="3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43" fontId="3" fillId="0" borderId="0" xfId="1" applyFont="1"/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49" fontId="7" fillId="7" borderId="11" xfId="2" applyNumberFormat="1" applyFont="1" applyFill="1" applyBorder="1" applyAlignment="1">
      <alignment horizontal="left" vertical="center"/>
    </xf>
    <xf numFmtId="0" fontId="3" fillId="8" borderId="12" xfId="0" applyFont="1" applyFill="1" applyBorder="1" applyAlignment="1">
      <alignment horizontal="left" vertical="center"/>
    </xf>
    <xf numFmtId="4" fontId="3" fillId="8" borderId="12" xfId="0" applyNumberFormat="1" applyFont="1" applyFill="1" applyBorder="1" applyAlignment="1">
      <alignment horizontal="right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left" vertical="center" wrapText="1"/>
    </xf>
    <xf numFmtId="164" fontId="3" fillId="8" borderId="12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vertical="center"/>
    </xf>
    <xf numFmtId="3" fontId="3" fillId="8" borderId="12" xfId="0" applyNumberFormat="1" applyFont="1" applyFill="1" applyBorder="1" applyAlignment="1">
      <alignment horizontal="center" vertical="center" wrapText="1"/>
    </xf>
    <xf numFmtId="3" fontId="3" fillId="8" borderId="12" xfId="0" applyNumberFormat="1" applyFont="1" applyFill="1" applyBorder="1" applyAlignment="1">
      <alignment horizontal="center" vertical="center"/>
    </xf>
    <xf numFmtId="4" fontId="3" fillId="8" borderId="12" xfId="0" applyNumberFormat="1" applyFont="1" applyFill="1" applyBorder="1" applyAlignment="1">
      <alignment horizontal="left" vertical="center"/>
    </xf>
    <xf numFmtId="3" fontId="3" fillId="8" borderId="12" xfId="0" applyNumberFormat="1" applyFont="1" applyFill="1" applyBorder="1" applyAlignment="1">
      <alignment horizontal="right" vertical="center"/>
    </xf>
    <xf numFmtId="3" fontId="3" fillId="8" borderId="12" xfId="1" applyNumberFormat="1" applyFont="1" applyFill="1" applyBorder="1" applyAlignment="1">
      <alignment horizontal="center" vertical="center" wrapText="1"/>
    </xf>
    <xf numFmtId="165" fontId="3" fillId="8" borderId="12" xfId="0" applyNumberFormat="1" applyFont="1" applyFill="1" applyBorder="1" applyAlignment="1">
      <alignment horizontal="center" vertical="center" wrapText="1"/>
    </xf>
    <xf numFmtId="43" fontId="3" fillId="8" borderId="10" xfId="1" applyFont="1" applyFill="1" applyBorder="1" applyAlignment="1">
      <alignment horizontal="center" vertical="center" wrapText="1"/>
    </xf>
    <xf numFmtId="3" fontId="3" fillId="8" borderId="13" xfId="1" applyNumberFormat="1" applyFont="1" applyFill="1" applyBorder="1" applyAlignment="1">
      <alignment horizontal="center" vertical="center" wrapText="1"/>
    </xf>
    <xf numFmtId="3" fontId="3" fillId="8" borderId="13" xfId="0" applyNumberFormat="1" applyFont="1" applyFill="1" applyBorder="1" applyAlignment="1">
      <alignment vertical="center"/>
    </xf>
    <xf numFmtId="3" fontId="3" fillId="8" borderId="12" xfId="0" applyNumberFormat="1" applyFont="1" applyFill="1" applyBorder="1" applyAlignment="1">
      <alignment vertical="center"/>
    </xf>
    <xf numFmtId="167" fontId="3" fillId="8" borderId="10" xfId="1" applyNumberFormat="1" applyFont="1" applyFill="1" applyBorder="1" applyAlignment="1">
      <alignment vertical="center"/>
    </xf>
    <xf numFmtId="167" fontId="3" fillId="8" borderId="10" xfId="1" applyNumberFormat="1" applyFont="1" applyFill="1" applyBorder="1" applyAlignment="1">
      <alignment horizontal="center" vertical="center"/>
    </xf>
    <xf numFmtId="167" fontId="3" fillId="8" borderId="14" xfId="1" applyNumberFormat="1" applyFont="1" applyFill="1" applyBorder="1" applyAlignment="1">
      <alignment horizontal="center" vertical="center"/>
    </xf>
    <xf numFmtId="167" fontId="3" fillId="8" borderId="9" xfId="1" applyNumberFormat="1" applyFont="1" applyFill="1" applyBorder="1" applyAlignment="1">
      <alignment horizontal="center" vertical="center"/>
    </xf>
    <xf numFmtId="3" fontId="3" fillId="8" borderId="15" xfId="0" applyNumberFormat="1" applyFont="1" applyFill="1" applyBorder="1" applyAlignment="1">
      <alignment vertical="center"/>
    </xf>
    <xf numFmtId="165" fontId="3" fillId="8" borderId="15" xfId="0" applyNumberFormat="1" applyFont="1" applyFill="1" applyBorder="1" applyAlignment="1">
      <alignment vertical="center"/>
    </xf>
    <xf numFmtId="165" fontId="3" fillId="8" borderId="12" xfId="0" applyNumberFormat="1" applyFont="1" applyFill="1" applyBorder="1" applyAlignment="1">
      <alignment vertical="center"/>
    </xf>
    <xf numFmtId="3" fontId="3" fillId="8" borderId="15" xfId="0" applyNumberFormat="1" applyFont="1" applyFill="1" applyBorder="1" applyAlignment="1">
      <alignment horizontal="center" vertical="center"/>
    </xf>
    <xf numFmtId="3" fontId="3" fillId="8" borderId="16" xfId="0" applyNumberFormat="1" applyFont="1" applyFill="1" applyBorder="1" applyAlignment="1">
      <alignment horizontal="center" vertical="center"/>
    </xf>
    <xf numFmtId="165" fontId="3" fillId="8" borderId="13" xfId="0" applyNumberFormat="1" applyFont="1" applyFill="1" applyBorder="1" applyAlignment="1">
      <alignment horizontal="center" vertical="center"/>
    </xf>
    <xf numFmtId="165" fontId="3" fillId="8" borderId="12" xfId="0" applyNumberFormat="1" applyFont="1" applyFill="1" applyBorder="1" applyAlignment="1">
      <alignment horizontal="center" vertical="center"/>
    </xf>
    <xf numFmtId="165" fontId="3" fillId="8" borderId="10" xfId="0" applyNumberFormat="1" applyFont="1" applyFill="1" applyBorder="1" applyAlignment="1">
      <alignment horizontal="center" vertical="center"/>
    </xf>
    <xf numFmtId="165" fontId="8" fillId="8" borderId="15" xfId="0" applyNumberFormat="1" applyFont="1" applyFill="1" applyBorder="1" applyAlignment="1">
      <alignment horizontal="center"/>
    </xf>
    <xf numFmtId="165" fontId="8" fillId="8" borderId="13" xfId="0" applyNumberFormat="1" applyFont="1" applyFill="1" applyBorder="1" applyAlignment="1">
      <alignment horizontal="center"/>
    </xf>
    <xf numFmtId="165" fontId="8" fillId="8" borderId="12" xfId="0" applyNumberFormat="1" applyFont="1" applyFill="1" applyBorder="1" applyAlignment="1">
      <alignment horizontal="center"/>
    </xf>
    <xf numFmtId="165" fontId="8" fillId="8" borderId="9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center" vertical="center" wrapText="1"/>
    </xf>
    <xf numFmtId="3" fontId="3" fillId="9" borderId="2" xfId="0" applyNumberFormat="1" applyFont="1" applyFill="1" applyBorder="1" applyAlignment="1">
      <alignment horizontal="center" vertical="center"/>
    </xf>
    <xf numFmtId="166" fontId="3" fillId="9" borderId="8" xfId="0" applyNumberFormat="1" applyFont="1" applyFill="1" applyBorder="1" applyAlignment="1">
      <alignment horizontal="center" vertical="center" wrapText="1"/>
    </xf>
    <xf numFmtId="166" fontId="3" fillId="9" borderId="3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9AB880DD-4D58-4234-8539-1F56AFC49343}"/>
  </cellStyles>
  <dxfs count="7">
    <dxf>
      <font>
        <color theme="0"/>
      </font>
    </dxf>
    <dxf>
      <font>
        <color theme="0"/>
      </font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31B2-DBEA-496D-AA4A-AD41AA2D80D2}">
  <dimension ref="A1:XFC4"/>
  <sheetViews>
    <sheetView tabSelected="1" workbookViewId="0">
      <selection activeCell="K3" sqref="K3"/>
    </sheetView>
  </sheetViews>
  <sheetFormatPr baseColWidth="10" defaultRowHeight="14.65" x14ac:dyDescent="0.3"/>
  <sheetData>
    <row r="1" spans="1:16383" x14ac:dyDescent="0.3">
      <c r="J1" t="s">
        <v>126</v>
      </c>
      <c r="M1" t="s">
        <v>121</v>
      </c>
      <c r="N1" t="s">
        <v>123</v>
      </c>
      <c r="AU1" t="s">
        <v>119</v>
      </c>
    </row>
    <row r="2" spans="1:16383" x14ac:dyDescent="0.3">
      <c r="D2" t="s">
        <v>124</v>
      </c>
      <c r="J2" t="s">
        <v>125</v>
      </c>
      <c r="K2" t="s">
        <v>127</v>
      </c>
      <c r="M2" t="s">
        <v>120</v>
      </c>
      <c r="N2" t="s">
        <v>122</v>
      </c>
      <c r="AT2" t="s">
        <v>117</v>
      </c>
      <c r="AU2" t="s">
        <v>118</v>
      </c>
      <c r="AW2" t="s">
        <v>116</v>
      </c>
      <c r="BR2" t="s">
        <v>114</v>
      </c>
      <c r="CA2" t="s">
        <v>115</v>
      </c>
    </row>
    <row r="3" spans="1:16383" ht="34.450000000000003" x14ac:dyDescent="0.3">
      <c r="A3" s="1"/>
      <c r="B3" s="2" t="s">
        <v>0</v>
      </c>
      <c r="C3" s="3" t="s">
        <v>1</v>
      </c>
      <c r="D3" s="65" t="s">
        <v>2</v>
      </c>
      <c r="E3" s="4" t="s">
        <v>3</v>
      </c>
      <c r="F3" s="5" t="s">
        <v>4</v>
      </c>
      <c r="G3" s="6" t="s">
        <v>5</v>
      </c>
      <c r="H3" s="5" t="s">
        <v>6</v>
      </c>
      <c r="I3" s="7" t="s">
        <v>7</v>
      </c>
      <c r="J3" s="67" t="s">
        <v>8</v>
      </c>
      <c r="K3" s="66" t="s">
        <v>9</v>
      </c>
      <c r="L3" s="5" t="s">
        <v>10</v>
      </c>
      <c r="M3" s="67" t="s">
        <v>11</v>
      </c>
      <c r="N3" s="67" t="s">
        <v>12</v>
      </c>
      <c r="O3" s="5" t="s">
        <v>13</v>
      </c>
      <c r="P3" s="5" t="s">
        <v>14</v>
      </c>
      <c r="Q3" s="5" t="s">
        <v>15</v>
      </c>
      <c r="R3" s="8" t="s">
        <v>16</v>
      </c>
      <c r="S3" s="8" t="s">
        <v>17</v>
      </c>
      <c r="T3" s="8" t="s">
        <v>18</v>
      </c>
      <c r="U3" s="5" t="s">
        <v>19</v>
      </c>
      <c r="V3" s="5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10" t="s">
        <v>25</v>
      </c>
      <c r="AB3" s="9" t="s">
        <v>26</v>
      </c>
      <c r="AC3" s="5" t="s">
        <v>27</v>
      </c>
      <c r="AD3" s="5" t="s">
        <v>28</v>
      </c>
      <c r="AE3" s="7" t="s">
        <v>7</v>
      </c>
      <c r="AF3" s="8" t="s">
        <v>29</v>
      </c>
      <c r="AG3" s="5" t="s">
        <v>30</v>
      </c>
      <c r="AH3" s="5" t="s">
        <v>31</v>
      </c>
      <c r="AI3" s="7" t="s">
        <v>32</v>
      </c>
      <c r="AJ3" s="11" t="s">
        <v>33</v>
      </c>
      <c r="AK3" s="4" t="s">
        <v>34</v>
      </c>
      <c r="AL3" s="5" t="s">
        <v>35</v>
      </c>
      <c r="AM3" s="12" t="s">
        <v>36</v>
      </c>
      <c r="AN3" s="12" t="s">
        <v>37</v>
      </c>
      <c r="AO3" s="12" t="s">
        <v>38</v>
      </c>
      <c r="AP3" s="12" t="s">
        <v>39</v>
      </c>
      <c r="AQ3" s="13" t="s">
        <v>40</v>
      </c>
      <c r="AR3" s="14" t="s">
        <v>41</v>
      </c>
      <c r="AS3" s="15" t="s">
        <v>42</v>
      </c>
      <c r="AT3" s="68" t="s">
        <v>43</v>
      </c>
      <c r="AU3" s="68" t="s">
        <v>44</v>
      </c>
      <c r="AV3" s="16" t="s">
        <v>45</v>
      </c>
      <c r="AW3" s="69" t="s">
        <v>46</v>
      </c>
      <c r="AX3" s="8" t="s">
        <v>47</v>
      </c>
      <c r="AY3" s="8" t="s">
        <v>48</v>
      </c>
      <c r="AZ3" s="8" t="s">
        <v>49</v>
      </c>
      <c r="BA3" s="8" t="s">
        <v>50</v>
      </c>
      <c r="BB3" s="8" t="s">
        <v>51</v>
      </c>
      <c r="BC3" s="8" t="s">
        <v>52</v>
      </c>
      <c r="BD3" s="8" t="s">
        <v>53</v>
      </c>
      <c r="BE3" s="8" t="s">
        <v>54</v>
      </c>
      <c r="BF3" s="8" t="s">
        <v>55</v>
      </c>
      <c r="BG3" s="8" t="s">
        <v>56</v>
      </c>
      <c r="BH3" s="17" t="s">
        <v>57</v>
      </c>
      <c r="BI3" s="17" t="s">
        <v>58</v>
      </c>
      <c r="BJ3" s="17" t="s">
        <v>59</v>
      </c>
      <c r="BK3" s="18" t="s">
        <v>60</v>
      </c>
      <c r="BL3" s="18" t="s">
        <v>61</v>
      </c>
      <c r="BM3" s="19" t="s">
        <v>62</v>
      </c>
      <c r="BN3" s="17" t="s">
        <v>63</v>
      </c>
      <c r="BO3" s="17" t="s">
        <v>64</v>
      </c>
      <c r="BP3" s="19" t="s">
        <v>65</v>
      </c>
      <c r="BQ3" s="20" t="s">
        <v>66</v>
      </c>
      <c r="BR3" s="70">
        <v>46170</v>
      </c>
      <c r="BS3" s="71">
        <v>46171</v>
      </c>
      <c r="BT3" s="21">
        <v>46174</v>
      </c>
      <c r="BU3" s="21">
        <v>46175</v>
      </c>
      <c r="BV3" s="21">
        <v>46176</v>
      </c>
      <c r="BW3" s="21">
        <v>46177</v>
      </c>
      <c r="BX3" s="21">
        <v>46178</v>
      </c>
      <c r="BY3" s="22">
        <v>46181</v>
      </c>
      <c r="BZ3" s="21">
        <v>46182</v>
      </c>
      <c r="CA3" s="70">
        <v>46170</v>
      </c>
      <c r="CB3" s="71">
        <v>46171</v>
      </c>
      <c r="CC3" s="21">
        <v>46174</v>
      </c>
      <c r="CD3" s="21">
        <v>46175</v>
      </c>
      <c r="CE3" s="21">
        <v>46176</v>
      </c>
      <c r="CF3" s="21">
        <v>46177</v>
      </c>
      <c r="CG3" s="21">
        <v>46178</v>
      </c>
      <c r="CH3" s="21">
        <v>46181</v>
      </c>
      <c r="CI3" s="21">
        <v>46182</v>
      </c>
      <c r="CJ3" s="23" t="s">
        <v>67</v>
      </c>
      <c r="CK3" s="24" t="s">
        <v>68</v>
      </c>
      <c r="CL3" s="24" t="s">
        <v>69</v>
      </c>
      <c r="CM3" s="24" t="s">
        <v>70</v>
      </c>
      <c r="CN3" s="24" t="s">
        <v>71</v>
      </c>
      <c r="CO3" s="24" t="s">
        <v>72</v>
      </c>
      <c r="CP3" s="24" t="s">
        <v>73</v>
      </c>
      <c r="CQ3" s="24" t="s">
        <v>74</v>
      </c>
      <c r="CR3" s="24" t="s">
        <v>75</v>
      </c>
      <c r="CS3" s="24" t="s">
        <v>76</v>
      </c>
      <c r="CT3" s="24" t="s">
        <v>77</v>
      </c>
      <c r="CU3" s="24" t="s">
        <v>78</v>
      </c>
      <c r="CV3" s="24" t="s">
        <v>79</v>
      </c>
      <c r="CW3" s="24" t="s">
        <v>80</v>
      </c>
      <c r="CX3" s="24" t="s">
        <v>81</v>
      </c>
      <c r="CY3" s="24" t="s">
        <v>82</v>
      </c>
      <c r="CZ3" s="25" t="s">
        <v>83</v>
      </c>
      <c r="DA3" s="26" t="s">
        <v>67</v>
      </c>
      <c r="DB3" s="26" t="s">
        <v>68</v>
      </c>
      <c r="DC3" s="24" t="s">
        <v>69</v>
      </c>
      <c r="DD3" s="24" t="s">
        <v>70</v>
      </c>
      <c r="DE3" s="24" t="s">
        <v>71</v>
      </c>
      <c r="DF3" s="24" t="s">
        <v>72</v>
      </c>
      <c r="DG3" s="24" t="s">
        <v>73</v>
      </c>
      <c r="DH3" s="24" t="s">
        <v>74</v>
      </c>
      <c r="DI3" s="24" t="s">
        <v>75</v>
      </c>
      <c r="DJ3" s="27" t="s">
        <v>76</v>
      </c>
      <c r="DK3" s="24" t="s">
        <v>77</v>
      </c>
      <c r="DL3" s="24" t="s">
        <v>78</v>
      </c>
      <c r="DM3" s="24" t="s">
        <v>79</v>
      </c>
      <c r="DN3" s="24" t="s">
        <v>80</v>
      </c>
      <c r="DO3" s="26" t="s">
        <v>81</v>
      </c>
      <c r="DP3" s="28" t="s">
        <v>84</v>
      </c>
      <c r="DQ3" s="28" t="s">
        <v>85</v>
      </c>
      <c r="DR3" s="7" t="s">
        <v>86</v>
      </c>
      <c r="DS3" s="7" t="s">
        <v>87</v>
      </c>
      <c r="DT3" s="7" t="s">
        <v>88</v>
      </c>
      <c r="DU3" s="20" t="s">
        <v>89</v>
      </c>
      <c r="DV3" s="5" t="s">
        <v>90</v>
      </c>
      <c r="DW3" s="29"/>
      <c r="DX3" s="30" t="s">
        <v>2</v>
      </c>
      <c r="DY3" s="31" t="s">
        <v>91</v>
      </c>
      <c r="DZ3" s="30" t="s">
        <v>92</v>
      </c>
      <c r="EA3" s="30" t="s">
        <v>93</v>
      </c>
      <c r="EB3" s="30" t="s">
        <v>94</v>
      </c>
      <c r="EC3" s="30">
        <v>202632</v>
      </c>
      <c r="ED3" s="30">
        <v>202633</v>
      </c>
      <c r="EE3" s="30">
        <v>202634</v>
      </c>
      <c r="EF3" s="30">
        <v>202635</v>
      </c>
      <c r="EG3" s="30">
        <v>202636</v>
      </c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  <c r="XEZ3" s="1"/>
      <c r="XFA3" s="1"/>
      <c r="XFB3" s="1"/>
      <c r="XFC3" s="1"/>
    </row>
    <row r="4" spans="1:16383" x14ac:dyDescent="0.3">
      <c r="D4" s="32">
        <v>9674138480</v>
      </c>
      <c r="E4" s="33" t="e">
        <v>#N/A</v>
      </c>
      <c r="F4" s="33" t="s">
        <v>95</v>
      </c>
      <c r="G4" s="34">
        <v>9.8770000000000007</v>
      </c>
      <c r="H4" s="33" t="s">
        <v>96</v>
      </c>
      <c r="I4" s="35" t="s">
        <v>97</v>
      </c>
      <c r="J4" s="35" t="s">
        <v>98</v>
      </c>
      <c r="K4" s="36">
        <v>774</v>
      </c>
      <c r="L4" s="37">
        <v>45957</v>
      </c>
      <c r="M4" s="37">
        <v>44865</v>
      </c>
      <c r="N4" s="37">
        <v>46174</v>
      </c>
      <c r="O4" s="38" t="s">
        <v>99</v>
      </c>
      <c r="P4" s="38" t="s">
        <v>100</v>
      </c>
      <c r="Q4" s="36" t="s">
        <v>101</v>
      </c>
      <c r="R4" s="39">
        <v>60</v>
      </c>
      <c r="S4" s="39">
        <v>60</v>
      </c>
      <c r="T4" s="39">
        <v>103</v>
      </c>
      <c r="U4" s="33" t="s">
        <v>102</v>
      </c>
      <c r="V4" s="33" t="s">
        <v>103</v>
      </c>
      <c r="W4" s="34" t="s">
        <v>104</v>
      </c>
      <c r="X4" s="34">
        <v>1.13436</v>
      </c>
      <c r="Y4" s="34">
        <v>0</v>
      </c>
      <c r="Z4" s="40">
        <v>215</v>
      </c>
      <c r="AA4" s="41" t="s">
        <v>105</v>
      </c>
      <c r="AB4" s="37">
        <v>46150</v>
      </c>
      <c r="AC4" s="35" t="s">
        <v>106</v>
      </c>
      <c r="AD4" s="35" t="s">
        <v>107</v>
      </c>
      <c r="AE4" s="35" t="s">
        <v>97</v>
      </c>
      <c r="AF4" s="42">
        <v>0</v>
      </c>
      <c r="AG4" s="35">
        <v>0.5</v>
      </c>
      <c r="AH4" s="35">
        <v>0</v>
      </c>
      <c r="AI4" s="35">
        <v>-364</v>
      </c>
      <c r="AJ4" s="35">
        <v>0</v>
      </c>
      <c r="AK4" s="35">
        <v>0</v>
      </c>
      <c r="AL4" s="35">
        <v>5</v>
      </c>
      <c r="AM4" s="39">
        <v>0</v>
      </c>
      <c r="AN4" s="39">
        <v>0</v>
      </c>
      <c r="AO4" s="39">
        <v>0</v>
      </c>
      <c r="AP4" s="39">
        <v>0</v>
      </c>
      <c r="AQ4" s="43">
        <v>0</v>
      </c>
      <c r="AR4" s="44">
        <v>0</v>
      </c>
      <c r="AS4" s="45">
        <v>0</v>
      </c>
      <c r="AT4" s="46">
        <v>403</v>
      </c>
      <c r="AU4" s="46">
        <v>-364</v>
      </c>
      <c r="AV4" s="46">
        <v>39</v>
      </c>
      <c r="AW4" s="47">
        <v>0</v>
      </c>
      <c r="AX4" s="48">
        <v>0</v>
      </c>
      <c r="AY4" s="48">
        <v>0</v>
      </c>
      <c r="AZ4" s="48">
        <v>0</v>
      </c>
      <c r="BA4" s="48">
        <v>0</v>
      </c>
      <c r="BB4" s="48">
        <v>403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9">
        <v>-364</v>
      </c>
      <c r="BI4" s="49">
        <v>-308</v>
      </c>
      <c r="BJ4" s="49">
        <v>-364</v>
      </c>
      <c r="BK4" s="50">
        <v>403</v>
      </c>
      <c r="BL4" s="50" t="s">
        <v>108</v>
      </c>
      <c r="BM4" s="51">
        <v>403</v>
      </c>
      <c r="BN4" s="50">
        <v>403</v>
      </c>
      <c r="BO4" s="50">
        <v>403</v>
      </c>
      <c r="BP4" s="51">
        <v>0</v>
      </c>
      <c r="BQ4" s="52">
        <v>3980.4310000000005</v>
      </c>
      <c r="BR4" s="53">
        <v>0</v>
      </c>
      <c r="BS4" s="48">
        <v>0</v>
      </c>
      <c r="BT4" s="48">
        <v>0</v>
      </c>
      <c r="BU4" s="48">
        <v>0</v>
      </c>
      <c r="BV4" s="48">
        <v>0</v>
      </c>
      <c r="BW4" s="48">
        <v>0</v>
      </c>
      <c r="BX4" s="48">
        <v>0</v>
      </c>
      <c r="BY4" s="48">
        <v>0</v>
      </c>
      <c r="BZ4" s="48">
        <v>0</v>
      </c>
      <c r="CA4" s="54">
        <v>39</v>
      </c>
      <c r="CB4" s="55">
        <v>39</v>
      </c>
      <c r="CC4" s="55">
        <v>39</v>
      </c>
      <c r="CD4" s="55">
        <v>39</v>
      </c>
      <c r="CE4" s="55">
        <v>39</v>
      </c>
      <c r="CF4" s="55">
        <v>39</v>
      </c>
      <c r="CG4" s="55">
        <v>39</v>
      </c>
      <c r="CH4" s="55">
        <v>39</v>
      </c>
      <c r="CI4" s="55">
        <v>39</v>
      </c>
      <c r="CJ4" s="56">
        <v>0</v>
      </c>
      <c r="CK4" s="40">
        <v>0</v>
      </c>
      <c r="CL4" s="40">
        <v>0</v>
      </c>
      <c r="CM4" s="40">
        <v>0</v>
      </c>
      <c r="CN4" s="40">
        <v>0</v>
      </c>
      <c r="CO4" s="40">
        <v>0</v>
      </c>
      <c r="CP4" s="40">
        <v>0</v>
      </c>
      <c r="CQ4" s="40">
        <v>0</v>
      </c>
      <c r="CR4" s="40">
        <v>0</v>
      </c>
      <c r="CS4" s="40">
        <v>0</v>
      </c>
      <c r="CT4" s="40">
        <v>0</v>
      </c>
      <c r="CU4" s="40">
        <v>0</v>
      </c>
      <c r="CV4" s="40">
        <v>0</v>
      </c>
      <c r="CW4" s="40">
        <v>0</v>
      </c>
      <c r="CX4" s="40">
        <v>0</v>
      </c>
      <c r="CY4" s="40">
        <v>0</v>
      </c>
      <c r="CZ4" s="57">
        <v>0</v>
      </c>
      <c r="DA4" s="58">
        <v>39</v>
      </c>
      <c r="DB4" s="59">
        <v>39</v>
      </c>
      <c r="DC4" s="59">
        <v>39</v>
      </c>
      <c r="DD4" s="59">
        <v>39</v>
      </c>
      <c r="DE4" s="59">
        <v>39</v>
      </c>
      <c r="DF4" s="59">
        <v>39</v>
      </c>
      <c r="DG4" s="59">
        <v>39</v>
      </c>
      <c r="DH4" s="59">
        <v>39</v>
      </c>
      <c r="DI4" s="59">
        <v>39</v>
      </c>
      <c r="DJ4" s="59">
        <v>39</v>
      </c>
      <c r="DK4" s="59">
        <v>39</v>
      </c>
      <c r="DL4" s="59">
        <v>39</v>
      </c>
      <c r="DM4" s="59">
        <v>39</v>
      </c>
      <c r="DN4" s="59">
        <v>39</v>
      </c>
      <c r="DO4" s="60">
        <v>39</v>
      </c>
      <c r="DP4" s="61">
        <v>0</v>
      </c>
      <c r="DQ4" s="62">
        <v>0</v>
      </c>
      <c r="DR4" s="63" t="s">
        <v>109</v>
      </c>
      <c r="DS4" s="63" t="s">
        <v>110</v>
      </c>
      <c r="DT4" s="63" t="s">
        <v>111</v>
      </c>
      <c r="DU4" s="64" t="s">
        <v>112</v>
      </c>
      <c r="DV4" s="33" t="s">
        <v>113</v>
      </c>
    </row>
  </sheetData>
  <conditionalFormatting sqref="CA3:CI3">
    <cfRule type="cellIs" dxfId="5" priority="6" operator="lessThan">
      <formula>0</formula>
    </cfRule>
  </conditionalFormatting>
  <conditionalFormatting sqref="BH4:BQ4">
    <cfRule type="cellIs" dxfId="4" priority="5" operator="lessThan">
      <formula>0</formula>
    </cfRule>
  </conditionalFormatting>
  <conditionalFormatting sqref="CA4:CI4 DA4:DO4">
    <cfRule type="cellIs" dxfId="3" priority="4" operator="lessThan">
      <formula>0</formula>
    </cfRule>
  </conditionalFormatting>
  <conditionalFormatting sqref="CA4:CI4 DA4:DO4">
    <cfRule type="cellIs" dxfId="2" priority="3" operator="greaterThanOrEqual">
      <formula>0</formula>
    </cfRule>
  </conditionalFormatting>
  <conditionalFormatting sqref="DP4:DT4">
    <cfRule type="cellIs" dxfId="1" priority="2" operator="equal">
      <formula>"Outros Flujos"</formula>
    </cfRule>
  </conditionalFormatting>
  <conditionalFormatting sqref="DU4:DV4">
    <cfRule type="cellIs" dxfId="0" priority="1" operator="equal">
      <formula>"Outros Flujos"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218D87A8C765498239203B29F5F710" ma:contentTypeVersion="3" ma:contentTypeDescription="Crear nuevo documento." ma:contentTypeScope="" ma:versionID="69ae75ae07b75fe84a68c7ad2e8f0c72">
  <xsd:schema xmlns:xsd="http://www.w3.org/2001/XMLSchema" xmlns:xs="http://www.w3.org/2001/XMLSchema" xmlns:p="http://schemas.microsoft.com/office/2006/metadata/properties" xmlns:ns2="6963210e-6cbe-4d2c-b56e-4d4a09d73d15" targetNamespace="http://schemas.microsoft.com/office/2006/metadata/properties" ma:root="true" ma:fieldsID="6bb89e115793abaf7af4accb03ba3323" ns2:_="">
    <xsd:import namespace="6963210e-6cbe-4d2c-b56e-4d4a09d73d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3210e-6cbe-4d2c-b56e-4d4a09d73d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352CF-9480-43E9-AFD6-5107C3AC53AB}"/>
</file>

<file path=customXml/itemProps2.xml><?xml version="1.0" encoding="utf-8"?>
<ds:datastoreItem xmlns:ds="http://schemas.openxmlformats.org/officeDocument/2006/customXml" ds:itemID="{FA07D0F2-04A9-4953-926E-E951DA3197F6}"/>
</file>

<file path=customXml/itemProps3.xml><?xml version="1.0" encoding="utf-8"?>
<ds:datastoreItem xmlns:ds="http://schemas.openxmlformats.org/officeDocument/2006/customXml" ds:itemID="{A628E305-FB68-49AB-8E2C-548543091BBE}"/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BISSO</dc:creator>
  <cp:lastModifiedBy>MARCOS BISSO</cp:lastModifiedBy>
  <dcterms:created xsi:type="dcterms:W3CDTF">2026-05-28T23:20:16Z</dcterms:created>
  <dcterms:modified xsi:type="dcterms:W3CDTF">2026-05-28T23:27:47Z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0x010100B4218D87A8C765498239203B29F5F710</vt:lpwstr>
  </property>
</Properties>
</file>